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47946da2d64a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e2e625523894b53"/>
    <x:sheet xmlns:r="http://schemas.openxmlformats.org/officeDocument/2006/relationships" name="Premissas" sheetId="2" r:id="R93f592c95acc4414"/>
    <x:sheet xmlns:r="http://schemas.openxmlformats.org/officeDocument/2006/relationships" name="Cenarios" sheetId="3" r:id="R614016d68e86413e"/>
    <x:sheet xmlns:r="http://schemas.openxmlformats.org/officeDocument/2006/relationships" name="Unit Economics" sheetId="4" r:id="Re45ae7a2491b4e5b"/>
    <x:sheet xmlns:r="http://schemas.openxmlformats.org/officeDocument/2006/relationships" name="Fontes" sheetId="5" r:id="R61bf8985d56742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R$ #,##0;[Red](R$ #,##0);-"/>
    <x:numFmt numFmtId="201" formatCode="0.0%;[Red](0.0%);-"/>
    <x:numFmt numFmtId="202" formatCode="0.00x"/>
    <x:numFmt numFmtId="203" formatCode="#,##0;[Red](#,##0);-"/>
  </x:numFmts>
  <x:fonts count="8">
    <x:font>
      <x:sz val="11"/>
      <x:name val="Carlito"/>
    </x:font>
    <x:font>
      <x:sz val="10"/>
      <x:name val="Aptos"/>
    </x:font>
    <x:font>
      <x:b/>
      <x:sz val="16"/>
      <x:color rgb="FFFFFFFF"/>
      <x:name val="Aptos"/>
    </x:font>
    <x:font>
      <x:b/>
      <x:sz val="10"/>
      <x:color rgb="FF0B1F3A"/>
      <x:name val="Aptos"/>
    </x:font>
    <x:font>
      <x:b/>
      <x:sz val="10"/>
      <x:color rgb="FFFFFFFF"/>
      <x:name val="Aptos"/>
    </x:font>
    <x:font>
      <x:sz val="10"/>
      <x:color rgb="FF0000FF"/>
      <x:name val="Aptos"/>
    </x:font>
    <x:font>
      <x:sz val="10"/>
      <x:color rgb="FF008000"/>
      <x:name val="Aptos"/>
    </x:font>
    <x:font>
      <x:sz val="10"/>
      <x:color rgb="FF00000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D9EAF7"/>
      </x:patternFill>
    </x:fill>
    <x:fill>
      <x:patternFill patternType="solid">
        <x:fgColor rgb="FF163A5F"/>
      </x:patternFill>
    </x:fill>
  </x:fills>
  <x:borders count="2">
    <x:border/>
    <x:border/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3" fontId="7" fillId="0" borderId="1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7" fillId="0" borderId="1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1" fontId="7" fillId="0" borderId="1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3" fontId="6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3" fontId="6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203" fontId="6" fillId="0" borderId="1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2" fontId="5" fillId="0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7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203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FF0000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f880e8d9fc4901" /><Relationship Type="http://schemas.openxmlformats.org/officeDocument/2006/relationships/theme" Target="/xl/theme/theme1.xml" Id="R51aa9c7c35084d7c" /><Relationship Type="http://schemas.openxmlformats.org/officeDocument/2006/relationships/sharedStrings" Target="/xl/sharedStrings.xml" Id="Rc8a02d4991e34cc9" /><Relationship Type="http://schemas.openxmlformats.org/officeDocument/2006/relationships/worksheet" Target="/xl/worksheets/sheet1.xml" Id="Rce2e625523894b53" /><Relationship Type="http://schemas.openxmlformats.org/officeDocument/2006/relationships/worksheet" Target="/xl/worksheets/sheet2.xml" Id="R93f592c95acc4414" /><Relationship Type="http://schemas.openxmlformats.org/officeDocument/2006/relationships/worksheet" Target="/xl/worksheets/sheet3.xml" Id="R614016d68e86413e" /><Relationship Type="http://schemas.openxmlformats.org/officeDocument/2006/relationships/worksheet" Target="/xl/worksheets/sheet4.xml" Id="Re45ae7a2491b4e5b" /><Relationship Type="http://schemas.openxmlformats.org/officeDocument/2006/relationships/worksheet" Target="/xl/worksheets/sheet5.xml" Id="R61bf8985d567428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0887c4c0034e62" /><Relationship Type="http://schemas.openxmlformats.org/officeDocument/2006/relationships/chart" Target="/xl/drawings/charts/chart2.xml" Id="R8b988fe7e5e44ef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MRR líquido por quantidade de clientes</a:t>
            </a:r>
          </a:p>
        </c:rich>
      </c:tx>
    </c:title>
    <c:plotArea>
      <c:lineChart>
        <c:grouping val="standard"/>
        <c:ser>
          <c:idx val="0"/>
          <c:order val="0"/>
          <c:tx>
            <c:v>MRR líquido</c:v>
          </c:tx>
          <c:marker>
            <c:symbol val="none"/>
          </c:marker>
          <c:cat>
            <c:strRef>
              <c:f>'Dashboard'!$D$4:$D$9</c:f>
              <c:strCache>
                <c:ptCount val="0"/>
              </c:strCache>
            </c:strRef>
          </c:cat>
          <c:val>
            <c:numRef>
              <c:f>'Dashboard'!$E$4:$E$9</c:f>
              <c:numCache>
                <c:formatCode>R$ #,##0;[Red](R$ 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Contribuição e resultado após custos fixos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MRR líquido</c:v>
          </c:tx>
          <c:cat>
            <c:strRef>
              <c:f>'Dashboard'!$D$4:$D$9</c:f>
              <c:strCache>
                <c:ptCount val="0"/>
              </c:strCache>
            </c:strRef>
          </c:cat>
          <c:val>
            <c:numRef>
              <c:f>'Dashboard'!$E$4:$E$9</c:f>
              <c:numCache>
                <c:formatCode>R$ #,##0;[Red](R$ #,##0);-</c:formatCode>
                <c:ptCount val="0"/>
              </c:numCache>
            </c:numRef>
          </c:val>
        </c:ser>
        <c:ser>
          <c:idx val="1"/>
          <c:order val="1"/>
          <c:tx>
            <c:v>ARR líquido</c:v>
          </c:tx>
          <c:cat>
            <c:strRef>
              <c:f>'Dashboard'!$D$4:$D$9</c:f>
              <c:strCache>
                <c:ptCount val="0"/>
              </c:strCache>
            </c:strRef>
          </c:cat>
          <c:val>
            <c:numRef>
              <c:f>'Dashboard'!$F$4:$F$9</c:f>
              <c:numCache>
                <c:formatCode>R$ #,##0;[Red](R$ #,##0);-</c:formatCode>
                <c:ptCount val="0"/>
              </c:numCache>
            </c:numRef>
          </c:val>
        </c:ser>
        <c:ser>
          <c:idx val="2"/>
          <c:order val="2"/>
          <c:tx>
            <c:v>Contribuição</c:v>
          </c:tx>
          <c:cat>
            <c:strRef>
              <c:f>'Dashboard'!$D$4:$D$9</c:f>
              <c:strCache>
                <c:ptCount val="0"/>
              </c:strCache>
            </c:strRef>
          </c:cat>
          <c:val>
            <c:numRef>
              <c:f>'Dashboard'!$G$4:$G$9</c:f>
              <c:numCache>
                <c:formatCode>R$ #,##0;[Red](R$ #,##0);-</c:formatCode>
                <c:ptCount val="0"/>
              </c:numCache>
            </c:numRef>
          </c:val>
        </c:ser>
        <c:ser>
          <c:idx val="3"/>
          <c:order val="3"/>
          <c:tx>
            <c:v>Margem %</c:v>
          </c:tx>
          <c:cat>
            <c:strRef>
              <c:f>'Dashboard'!$D$4:$D$9</c:f>
              <c:strCache>
                <c:ptCount val="0"/>
              </c:strCache>
            </c:strRef>
          </c:cat>
          <c:val>
            <c:numRef>
              <c:f>'Dashboard'!$H$4:$H$9</c:f>
              <c:numCache>
                <c:formatCode>0.0%;[Red](0.0%);-</c:formatCode>
                <c:ptCount val="0"/>
              </c:numCache>
            </c:numRef>
          </c:val>
        </c:ser>
        <c:ser>
          <c:idx val="4"/>
          <c:order val="4"/>
          <c:tx>
            <c:v>Após custos fixos</c:v>
          </c:tx>
          <c:cat>
            <c:strRef>
              <c:f>'Dashboard'!$D$4:$D$9</c:f>
              <c:strCache>
                <c:ptCount val="0"/>
              </c:strCache>
            </c:strRef>
          </c:cat>
          <c:val>
            <c:numRef>
              <c:f>'Dashboard'!$I$4:$I$9</c:f>
              <c:numCache>
                <c:formatCode>R$ #,##0;[Red](R$ 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0887c4c0034e62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988fe7e5e44ef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b81636971a74e6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12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20" hidden="0" customWidth="1"/>
  </x:cols>
  <x:sheetData>
    <x:row r="1" ht="28" customHeight="1">
      <x:c r="A1" s="50" t="str">
        <x:v>EIP — Dashboard Financeiro SaaS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>
      <x:c r="A3" s="12" t="str">
        <x:v>Indicador</x:v>
      </x:c>
      <x:c r="B3" s="12" t="str">
        <x:v>Base</x:v>
      </x:c>
      <x:c r="C3" s="51"/>
      <x:c r="D3" s="12" t="str">
        <x:v>Clientes</x:v>
      </x:c>
      <x:c r="E3" s="12" t="str">
        <x:v>MRR líquido</x:v>
      </x:c>
      <x:c r="F3" s="12" t="str">
        <x:v>ARR líquido</x:v>
      </x:c>
      <x:c r="G3" s="12" t="str">
        <x:v>Contribuição</x:v>
      </x:c>
      <x:c r="H3" s="12" t="str">
        <x:v>Margem %</x:v>
      </x:c>
      <x:c r="I3" s="12" t="str">
        <x:v>Após custos fixos</x:v>
      </x:c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>
      <x:c r="A4" s="51" t="str">
        <x:v>Preço Start</x:v>
      </x:c>
      <x:c r="B4" s="52" t="n">
        <x:f>Premissas!B4</x:f>
        <x:v>1290</x:v>
      </x:c>
      <x:c r="C4" s="51"/>
      <x:c r="D4" s="53" t="n">
        <x:f>Cenarios!A4</x:f>
        <x:v>10</x:v>
      </x:c>
      <x:c r="E4" s="52" t="n">
        <x:f>Cenarios!G4</x:f>
        <x:v>25705</x:v>
      </x:c>
      <x:c r="F4" s="52" t="n">
        <x:f>Cenarios!N4</x:f>
        <x:v>308460</x:v>
      </x:c>
      <x:c r="G4" s="52" t="n">
        <x:f>Cenarios!L4</x:f>
        <x:v>18059.460499999997</x:v>
      </x:c>
      <x:c r="H4" s="54" t="n">
        <x:f>Cenarios!M4</x:f>
        <x:v>0.7025660571873176</x:v>
      </x:c>
      <x:c r="I4" s="52" t="n">
        <x:f>G4-Premissas!$B$24</x:f>
        <x:v>-106940.5395</x:v>
      </x:c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A5" s="51" t="str">
        <x:v>Preço Business</x:v>
      </x:c>
      <x:c r="B5" s="52" t="n">
        <x:f>Premissas!B5</x:f>
        <x:v>2490</x:v>
      </x:c>
      <x:c r="C5" s="51"/>
      <x:c r="D5" s="53" t="n">
        <x:f>Cenarios!A5</x:f>
        <x:v>25</x:v>
      </x:c>
      <x:c r="E5" s="52" t="n">
        <x:f>Cenarios!G5</x:f>
        <x:v>64262.5</x:v>
      </x:c>
      <x:c r="F5" s="52" t="n">
        <x:f>Cenarios!N5</x:f>
        <x:v>771150</x:v>
      </x:c>
      <x:c r="G5" s="52" t="n">
        <x:f>Cenarios!L5</x:f>
        <x:v>45148.65125</x:v>
      </x:c>
      <x:c r="H5" s="54" t="n">
        <x:f>Cenarios!M5</x:f>
        <x:v>0.7025660571873177</x:v>
      </x:c>
      <x:c r="I5" s="52" t="n">
        <x:f>G5-Premissas!$B$24</x:f>
        <x:v>-79851.34875</x:v>
      </x:c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>
      <x:c r="A6" s="51" t="str">
        <x:v>Preço Pro</x:v>
      </x:c>
      <x:c r="B6" s="52" t="n">
        <x:f>Premissas!B6</x:f>
        <x:v>4490</x:v>
      </x:c>
      <x:c r="C6" s="51"/>
      <x:c r="D6" s="53" t="n">
        <x:f>Cenarios!A6</x:f>
        <x:v>50</x:v>
      </x:c>
      <x:c r="E6" s="52" t="n">
        <x:f>Cenarios!G6</x:f>
        <x:v>128525</x:v>
      </x:c>
      <x:c r="F6" s="52" t="n">
        <x:f>Cenarios!N6</x:f>
        <x:v>1542300</x:v>
      </x:c>
      <x:c r="G6" s="52" t="n">
        <x:f>Cenarios!L6</x:f>
        <x:v>90297.3025</x:v>
      </x:c>
      <x:c r="H6" s="54" t="n">
        <x:f>Cenarios!M6</x:f>
        <x:v>0.7025660571873177</x:v>
      </x:c>
      <x:c r="I6" s="52" t="n">
        <x:f>G6-Premissas!$B$24</x:f>
        <x:v>-34702.697499999995</x:v>
      </x:c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>
      <x:c r="A7" s="51" t="str">
        <x:v>ARPA bruto</x:v>
      </x:c>
      <x:c r="B7" s="52" t="n">
        <x:f>Premissas!B21</x:f>
        <x:v>2650</x:v>
      </x:c>
      <x:c r="C7" s="51"/>
      <x:c r="D7" s="53" t="n">
        <x:f>Cenarios!A7</x:f>
        <x:v>100</x:v>
      </x:c>
      <x:c r="E7" s="52" t="n">
        <x:f>Cenarios!G7</x:f>
        <x:v>257050</x:v>
      </x:c>
      <x:c r="F7" s="52" t="n">
        <x:f>Cenarios!N7</x:f>
        <x:v>3084600</x:v>
      </x:c>
      <x:c r="G7" s="52" t="n">
        <x:f>Cenarios!L7</x:f>
        <x:v>180594.605</x:v>
      </x:c>
      <x:c r="H7" s="54" t="n">
        <x:f>Cenarios!M7</x:f>
        <x:v>0.7025660571873177</x:v>
      </x:c>
      <x:c r="I7" s="52" t="n">
        <x:f>G7-Premissas!$B$24</x:f>
        <x:v>55594.60500000001</x:v>
      </x:c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>
      <x:c r="A8" s="51" t="str">
        <x:v>Margem contribuição média</x:v>
      </x:c>
      <x:c r="B8" s="54" t="n">
        <x:f>SUMPRODUCT(Premissas!C4:C6,'Unit Economics'!J4:J6)</x:f>
        <x:v>0.6908134418463847</x:v>
      </x:c>
      <x:c r="C8" s="51"/>
      <x:c r="D8" s="53" t="n">
        <x:f>Cenarios!A8</x:f>
        <x:v>250</x:v>
      </x:c>
      <x:c r="E8" s="52" t="n">
        <x:f>Cenarios!G8</x:f>
        <x:v>642625</x:v>
      </x:c>
      <x:c r="F8" s="52" t="n">
        <x:f>Cenarios!N8</x:f>
        <x:v>7711500</x:v>
      </x:c>
      <x:c r="G8" s="52" t="n">
        <x:f>Cenarios!L8</x:f>
        <x:v>451486.51249999995</x:v>
      </x:c>
      <x:c r="H8" s="54" t="n">
        <x:f>Cenarios!M8</x:f>
        <x:v>0.7025660571873176</x:v>
      </x:c>
      <x:c r="I8" s="52" t="n">
        <x:f>G8-Premissas!$B$24</x:f>
        <x:v>326486.51249999995</x:v>
      </x:c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>
      <x:c r="A9" s="51" t="str">
        <x:v>Break-even clientes</x:v>
      </x:c>
      <x:c r="B9" s="53" t="n">
        <x:f>'Unit Economics'!B12</x:f>
        <x:v>70</x:v>
      </x:c>
      <x:c r="C9" s="51"/>
      <x:c r="D9" s="53" t="n">
        <x:f>Cenarios!A9</x:f>
        <x:v>500</x:v>
      </x:c>
      <x:c r="E9" s="52" t="n">
        <x:f>Cenarios!G9</x:f>
        <x:v>1285250</x:v>
      </x:c>
      <x:c r="F9" s="52" t="n">
        <x:f>Cenarios!N9</x:f>
        <x:v>15423000</x:v>
      </x:c>
      <x:c r="G9" s="52" t="n">
        <x:f>Cenarios!L9</x:f>
        <x:v>902973.0249999999</x:v>
      </x:c>
      <x:c r="H9" s="54" t="n">
        <x:f>Cenarios!M9</x:f>
        <x:v>0.7025660571873176</x:v>
      </x:c>
      <x:c r="I9" s="52" t="n">
        <x:f>G9-Premissas!$B$24</x:f>
        <x:v>777973.0249999999</x:v>
      </x:c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51" t="str">
        <x:v>MRR líquido - 100 clientes</x:v>
      </x:c>
      <x:c r="B10" s="52" t="n">
        <x:f>Cenarios!G7</x:f>
        <x:v>257050</x:v>
      </x:c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51" t="str">
        <x:v>ARR líquido - 100 clientes</x:v>
      </x:c>
      <x:c r="B11" s="52" t="n">
        <x:f>Cenarios!N7</x:f>
        <x:v>3084600</x:v>
      </x:c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</x:sheetData>
  <x:mergeCells>
    <x:mergeCell ref="A1:L1"/>
  </x:mergeCells>
  <x:conditionalFormatting sqref="H4:H9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I4:I9">
    <x:cfRule type="cellIs" dxfId="0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bb81636971a74e6a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4" hidden="0" customWidth="1"/>
    <x:col min="4" max="4" width="28" hidden="0" customWidth="1"/>
    <x:col min="6" max="6" width="18" hidden="0" customWidth="1"/>
    <x:col min="7" max="7" width="24" hidden="0" customWidth="1"/>
    <x:col min="8" max="8" width="22" hidden="0" customWidth="1"/>
  </x:cols>
  <x:sheetData>
    <x:row r="1" ht="28" customHeight="1">
      <x:c r="A1" s="50" t="str">
        <x:v>EIP — Premissas do Modelo Financeiro</x:v>
      </x:c>
      <x:c r="B1" s="50"/>
      <x:c r="C1" s="50"/>
      <x:c r="D1" s="50"/>
      <x:c r="E1" s="50"/>
      <x:c r="F1" s="50"/>
      <x:c r="G1" s="50"/>
      <x:c r="H1" s="50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>
      <x:c r="A3" s="12" t="str">
        <x:v>Planos</x:v>
      </x:c>
      <x:c r="B3" s="12" t="str">
        <x:v>Preço mensal (R$)</x:v>
      </x:c>
      <x:c r="C3" s="12" t="str">
        <x:v>Mix base</x:v>
      </x:c>
      <x:c r="D3" s="12" t="str">
        <x:v>Custo técnico variável / cliente (R$)</x:v>
      </x:c>
      <x:c r="E3" s="51"/>
      <x:c r="F3" s="12" t="str">
        <x:v>Cenário</x:v>
      </x:c>
      <x:c r="G3" s="12" t="str">
        <x:v>Multiplicador custo técnico</x:v>
      </x:c>
      <x:c r="H3" s="12" t="str">
        <x:v>Multiplicador custos fixos</x:v>
      </x:c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>
      <x:c r="A4" s="51" t="str">
        <x:v>Start</x:v>
      </x:c>
      <x:c r="B4" s="60" t="n">
        <x:v>1290</x:v>
      </x:c>
      <x:c r="C4" s="61" t="n">
        <x:v>0.2</x:v>
      </x:c>
      <x:c r="D4" s="62" t="n">
        <x:v>250</x:v>
      </x:c>
      <x:c r="E4" s="51"/>
      <x:c r="F4" s="51" t="str">
        <x:v>Conservador</x:v>
      </x:c>
      <x:c r="G4" s="63" t="n">
        <x:v>1.3</x:v>
      </x:c>
      <x:c r="H4" s="63" t="n">
        <x:v>1.2</x:v>
      </x:c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A5" s="51" t="str">
        <x:v>Business</x:v>
      </x:c>
      <x:c r="B5" s="60" t="n">
        <x:v>2490</x:v>
      </x:c>
      <x:c r="C5" s="61" t="n">
        <x:v>0.6</x:v>
      </x:c>
      <x:c r="D5" s="62" t="n">
        <x:v>350</x:v>
      </x:c>
      <x:c r="E5" s="51"/>
      <x:c r="F5" s="51" t="str">
        <x:v>Base</x:v>
      </x:c>
      <x:c r="G5" s="63" t="n">
        <x:v>1</x:v>
      </x:c>
      <x:c r="H5" s="63" t="n">
        <x:v>1</x:v>
      </x:c>
      <x:c r="I5" s="51"/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>
      <x:c r="A6" s="51" t="str">
        <x:v>Pro</x:v>
      </x:c>
      <x:c r="B6" s="60" t="n">
        <x:v>4490</x:v>
      </x:c>
      <x:c r="C6" s="61" t="n">
        <x:v>0.2</x:v>
      </x:c>
      <x:c r="D6" s="62" t="n">
        <x:v>440</x:v>
      </x:c>
      <x:c r="E6" s="51"/>
      <x:c r="F6" s="51" t="str">
        <x:v>Agressivo</x:v>
      </x:c>
      <x:c r="G6" s="63" t="n">
        <x:v>0.85</x:v>
      </x:c>
      <x:c r="H6" s="63" t="n">
        <x:v>0.9</x:v>
      </x:c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>
      <x:c r="A7" s="51"/>
      <x:c r="B7" s="51"/>
      <x:c r="C7" s="51"/>
      <x:c r="D7" s="51"/>
      <x:c r="E7" s="51"/>
      <x:c r="F7" s="51"/>
      <x:c r="G7" s="51"/>
      <x:c r="H7" s="51"/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>
      <x:c r="A8" s="64" t="str">
        <x:v>Premissas gerais</x:v>
      </x:c>
      <x:c r="B8" s="64" t="str">
        <x:v>Valor</x:v>
      </x:c>
      <x:c r="C8" s="51"/>
      <x:c r="D8" s="51"/>
      <x:c r="E8" s="51"/>
      <x:c r="F8" s="12" t="str">
        <x:v>Clientes simulados</x:v>
      </x:c>
      <x:c r="G8" s="12" t="str">
        <x:v>Quantidade</x:v>
      </x:c>
      <x:c r="H8" s="51"/>
      <x:c r="I8" s="51"/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>
      <x:c r="A9" s="51" t="str">
        <x:v>Impostos sobre receita</x:v>
      </x:c>
      <x:c r="B9" s="61" t="n">
        <x:v>0.1</x:v>
      </x:c>
      <x:c r="C9" s="51"/>
      <x:c r="D9" s="51"/>
      <x:c r="E9" s="51"/>
      <x:c r="F9" s="51" t="str">
        <x:v>Cenário 10</x:v>
      </x:c>
      <x:c r="G9" s="51" t="n">
        <x:v>10</x:v>
      </x:c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51" t="str">
        <x:v>Stripe cartão - %</x:v>
      </x:c>
      <x:c r="B10" s="61" t="n">
        <x:v>0.0399</x:v>
      </x:c>
      <x:c r="C10" s="51"/>
      <x:c r="D10" s="51"/>
      <x:c r="E10" s="51"/>
      <x:c r="F10" s="51" t="str">
        <x:v>Cenário 25</x:v>
      </x:c>
      <x:c r="G10" s="51" t="n">
        <x:v>25</x:v>
      </x:c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51" t="str">
        <x:v>Stripe cartão - tarifa fixa (R$)</x:v>
      </x:c>
      <x:c r="B11" s="60" t="n">
        <x:v>0.39</x:v>
      </x:c>
      <x:c r="C11" s="51"/>
      <x:c r="D11" s="51"/>
      <x:c r="E11" s="51"/>
      <x:c r="F11" s="51" t="str">
        <x:v>Cenário 50</x:v>
      </x:c>
      <x:c r="G11" s="51" t="n">
        <x:v>50</x:v>
      </x:c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51" t="str">
        <x:v>Stripe Billing - %</x:v>
      </x:c>
      <x:c r="B12" s="61" t="n">
        <x:v>0.007</x:v>
      </x:c>
      <x:c r="C12" s="51"/>
      <x:c r="D12" s="51"/>
      <x:c r="E12" s="51"/>
      <x:c r="F12" s="51" t="str">
        <x:v>Cenário 100</x:v>
      </x:c>
      <x:c r="G12" s="51" t="n">
        <x:v>100</x:v>
      </x:c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51" t="str">
        <x:v>Inadimplência/perdas</x:v>
      </x:c>
      <x:c r="B13" s="61" t="n">
        <x:v>0.015</x:v>
      </x:c>
      <x:c r="C13" s="51"/>
      <x:c r="D13" s="51"/>
      <x:c r="E13" s="51"/>
      <x:c r="F13" s="51" t="str">
        <x:v>Cenário 250</x:v>
      </x:c>
      <x:c r="G13" s="51" t="n">
        <x:v>250</x:v>
      </x:c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51" t="str">
        <x:v>Descontos médios</x:v>
      </x:c>
      <x:c r="B14" s="61" t="n">
        <x:v>0.03</x:v>
      </x:c>
      <x:c r="C14" s="51"/>
      <x:c r="D14" s="51"/>
      <x:c r="E14" s="51"/>
      <x:c r="F14" s="51" t="str">
        <x:v>Cenário 500</x:v>
      </x:c>
      <x:c r="G14" s="51" t="n">
        <x:v>500</x:v>
      </x:c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51" t="str">
        <x:v>Custos fixos mensais (R$)</x:v>
      </x:c>
      <x:c r="B15" s="60" t="n">
        <x:v>50000</x:v>
      </x:c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51" t="str">
        <x:v>Marketing mensal (R$)</x:v>
      </x:c>
      <x:c r="B16" s="60" t="n">
        <x:v>15000</x:v>
      </x:c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51" t="str">
        <x:v>Folha/suporte/dev mensal (R$)</x:v>
      </x:c>
      <x:c r="B17" s="60" t="n">
        <x:v>50000</x:v>
      </x:c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51" t="str">
        <x:v>Outros custos fixos (R$)</x:v>
      </x:c>
      <x:c r="B18" s="60" t="n">
        <x:v>10000</x:v>
      </x:c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64" t="str">
        <x:v>Indicadores derivados</x:v>
      </x:c>
      <x:c r="B20" s="64" t="str">
        <x:v>Valor</x:v>
      </x:c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51" t="str">
        <x:v>ARPA bruto</x:v>
      </x:c>
      <x:c r="B21" s="65" t="n">
        <x:f>SUMPRODUCT(B4:B6,C4:C6)</x:f>
        <x:v>2650</x:v>
      </x:c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51" t="str">
        <x:v>Custo técnico médio</x:v>
      </x:c>
      <x:c r="B22" s="65" t="n">
        <x:f>SUMPRODUCT(C4:C6,D4:D6)</x:f>
        <x:v>348</x:v>
      </x:c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51" t="str">
        <x:v>Fee percentual gateway+Billing</x:v>
      </x:c>
      <x:c r="B23" s="66" t="n">
        <x:f>B10+B12</x:f>
        <x:v>0.0469</x:v>
      </x:c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51" t="str">
        <x:v>Custos fixos totais</x:v>
      </x:c>
      <x:c r="B24" s="65" t="n">
        <x:f>SUM(B15:B18)</x:f>
        <x:v>125000</x:v>
      </x:c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10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16" hidden="0" customWidth="1"/>
    <x:col min="10" max="10" width="14" hidden="0" customWidth="1"/>
    <x:col min="11" max="11" width="18" hidden="0" customWidth="1"/>
    <x:col min="12" max="12" width="22" hidden="0" customWidth="1"/>
    <x:col min="13" max="13" width="18" hidden="0" customWidth="1"/>
    <x:col min="14" max="14" width="18" hidden="0" customWidth="1"/>
  </x:cols>
  <x:sheetData>
    <x:row r="1" ht="28" customHeight="1">
      <x:c r="A1" s="50" t="str">
        <x:v>EIP — Cenários de Escala (mix 20% Start / 60% Business / 20% Pro)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>
      <x:c r="A3" s="12" t="str">
        <x:v>Clientes</x:v>
      </x:c>
      <x:c r="B3" s="12" t="str">
        <x:v>Start</x:v>
      </x:c>
      <x:c r="C3" s="12" t="str">
        <x:v>Business</x:v>
      </x:c>
      <x:c r="D3" s="12" t="str">
        <x:v>Pro</x:v>
      </x:c>
      <x:c r="E3" s="12" t="str">
        <x:v>MRR bruto (R$)</x:v>
      </x:c>
      <x:c r="F3" s="12" t="str">
        <x:v>Descontos (R$)</x:v>
      </x:c>
      <x:c r="G3" s="12" t="str">
        <x:v>MRR líquido (R$)</x:v>
      </x:c>
      <x:c r="H3" s="12" t="str">
        <x:v>Gateway/Billing (R$)</x:v>
      </x:c>
      <x:c r="I3" s="12" t="str">
        <x:v>Impostos (R$)</x:v>
      </x:c>
      <x:c r="J3" s="12" t="str">
        <x:v>Perdas (R$)</x:v>
      </x:c>
      <x:c r="K3" s="12" t="str">
        <x:v>Custo técnico (R$)</x:v>
      </x:c>
      <x:c r="L3" s="12" t="str">
        <x:v>Margem contribuição (R$)</x:v>
      </x:c>
      <x:c r="M3" s="12" t="str">
        <x:v>Margem contribuição %</x:v>
      </x:c>
      <x:c r="N3" s="12" t="str">
        <x:v>ARR líquido (R$)</x:v>
      </x:c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>
      <x:c r="A4" s="74" t="n">
        <x:v>10</x:v>
      </x:c>
      <x:c r="B4" s="75" t="n">
        <x:f>A4*Premissas!$C$4</x:f>
        <x:v>2</x:v>
      </x:c>
      <x:c r="C4" s="75" t="n">
        <x:f>A4*Premissas!$C$5</x:f>
        <x:v>6</x:v>
      </x:c>
      <x:c r="D4" s="75" t="n">
        <x:f>A4*Premissas!$C$6</x:f>
        <x:v>2</x:v>
      </x:c>
      <x:c r="E4" s="76" t="n">
        <x:f>B4*Premissas!$B$4+C4*Premissas!$B$5+D4*Premissas!$B$6</x:f>
        <x:v>26500</x:v>
      </x:c>
      <x:c r="F4" s="76" t="n">
        <x:f>E4*Premissas!$B$14</x:f>
        <x:v>795</x:v>
      </x:c>
      <x:c r="G4" s="76" t="n">
        <x:f>E4-F4</x:f>
        <x:v>25705</x:v>
      </x:c>
      <x:c r="H4" s="76" t="n">
        <x:f>G4*Premissas!$B$23+A4*Premissas!$B$11</x:f>
        <x:v>1209.4645</x:v>
      </x:c>
      <x:c r="I4" s="76" t="n">
        <x:f>G4*Premissas!$B$9</x:f>
        <x:v>2570.5</x:v>
      </x:c>
      <x:c r="J4" s="76" t="n">
        <x:f>G4*Premissas!$B$13</x:f>
        <x:v>385.575</x:v>
      </x:c>
      <x:c r="K4" s="76" t="n">
        <x:f>B4*Premissas!$D$4+C4*Premissas!$D$5+D4*Premissas!$D$6</x:f>
        <x:v>3480</x:v>
      </x:c>
      <x:c r="L4" s="76" t="n">
        <x:f>G4-H4-I4-J4-K4</x:f>
        <x:v>18059.460499999997</x:v>
      </x:c>
      <x:c r="M4" s="77" t="n">
        <x:f>IFERROR(L4/G4,0)</x:f>
        <x:v>0.7025660571873176</x:v>
      </x:c>
      <x:c r="N4" s="76" t="n">
        <x:f>G4*12</x:f>
        <x:v>308460</x:v>
      </x:c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A5" s="74" t="n">
        <x:v>25</x:v>
      </x:c>
      <x:c r="B5" s="75" t="n">
        <x:f>A5*Premissas!$C$4</x:f>
        <x:v>5</x:v>
      </x:c>
      <x:c r="C5" s="75" t="n">
        <x:f>A5*Premissas!$C$5</x:f>
        <x:v>15</x:v>
      </x:c>
      <x:c r="D5" s="75" t="n">
        <x:f>A5*Premissas!$C$6</x:f>
        <x:v>5</x:v>
      </x:c>
      <x:c r="E5" s="76" t="n">
        <x:f>B5*Premissas!$B$4+C5*Premissas!$B$5+D5*Premissas!$B$6</x:f>
        <x:v>66250</x:v>
      </x:c>
      <x:c r="F5" s="76" t="n">
        <x:f>E5*Premissas!$B$14</x:f>
        <x:v>1987.5</x:v>
      </x:c>
      <x:c r="G5" s="76" t="n">
        <x:f>E5-F5</x:f>
        <x:v>64262.5</x:v>
      </x:c>
      <x:c r="H5" s="76" t="n">
        <x:f>G5*Premissas!$B$23+A5*Premissas!$B$11</x:f>
        <x:v>3023.6612499999997</x:v>
      </x:c>
      <x:c r="I5" s="76" t="n">
        <x:f>G5*Premissas!$B$9</x:f>
        <x:v>6426.25</x:v>
      </x:c>
      <x:c r="J5" s="76" t="n">
        <x:f>G5*Premissas!$B$13</x:f>
        <x:v>963.9375</x:v>
      </x:c>
      <x:c r="K5" s="76" t="n">
        <x:f>B5*Premissas!$D$4+C5*Premissas!$D$5+D5*Premissas!$D$6</x:f>
        <x:v>8700</x:v>
      </x:c>
      <x:c r="L5" s="76" t="n">
        <x:f>G5-H5-I5-J5-K5</x:f>
        <x:v>45148.65125</x:v>
      </x:c>
      <x:c r="M5" s="77" t="n">
        <x:f>IFERROR(L5/G5,0)</x:f>
        <x:v>0.7025660571873177</x:v>
      </x:c>
      <x:c r="N5" s="76" t="n">
        <x:f>G5*12</x:f>
        <x:v>771150</x:v>
      </x:c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>
      <x:c r="A6" s="74" t="n">
        <x:v>50</x:v>
      </x:c>
      <x:c r="B6" s="75" t="n">
        <x:f>A6*Premissas!$C$4</x:f>
        <x:v>10</x:v>
      </x:c>
      <x:c r="C6" s="75" t="n">
        <x:f>A6*Premissas!$C$5</x:f>
        <x:v>30</x:v>
      </x:c>
      <x:c r="D6" s="75" t="n">
        <x:f>A6*Premissas!$C$6</x:f>
        <x:v>10</x:v>
      </x:c>
      <x:c r="E6" s="76" t="n">
        <x:f>B6*Premissas!$B$4+C6*Premissas!$B$5+D6*Premissas!$B$6</x:f>
        <x:v>132500</x:v>
      </x:c>
      <x:c r="F6" s="76" t="n">
        <x:f>E6*Premissas!$B$14</x:f>
        <x:v>3975</x:v>
      </x:c>
      <x:c r="G6" s="76" t="n">
        <x:f>E6-F6</x:f>
        <x:v>128525</x:v>
      </x:c>
      <x:c r="H6" s="76" t="n">
        <x:f>G6*Premissas!$B$23+A6*Premissas!$B$11</x:f>
        <x:v>6047.322499999999</x:v>
      </x:c>
      <x:c r="I6" s="76" t="n">
        <x:f>G6*Premissas!$B$9</x:f>
        <x:v>12852.5</x:v>
      </x:c>
      <x:c r="J6" s="76" t="n">
        <x:f>G6*Premissas!$B$13</x:f>
        <x:v>1927.875</x:v>
      </x:c>
      <x:c r="K6" s="76" t="n">
        <x:f>B6*Premissas!$D$4+C6*Premissas!$D$5+D6*Premissas!$D$6</x:f>
        <x:v>17400</x:v>
      </x:c>
      <x:c r="L6" s="76" t="n">
        <x:f>G6-H6-I6-J6-K6</x:f>
        <x:v>90297.3025</x:v>
      </x:c>
      <x:c r="M6" s="77" t="n">
        <x:f>IFERROR(L6/G6,0)</x:f>
        <x:v>0.7025660571873177</x:v>
      </x:c>
      <x:c r="N6" s="76" t="n">
        <x:f>G6*12</x:f>
        <x:v>1542300</x:v>
      </x:c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>
      <x:c r="A7" s="74" t="n">
        <x:v>100</x:v>
      </x:c>
      <x:c r="B7" s="75" t="n">
        <x:f>A7*Premissas!$C$4</x:f>
        <x:v>20</x:v>
      </x:c>
      <x:c r="C7" s="75" t="n">
        <x:f>A7*Premissas!$C$5</x:f>
        <x:v>60</x:v>
      </x:c>
      <x:c r="D7" s="75" t="n">
        <x:f>A7*Premissas!$C$6</x:f>
        <x:v>20</x:v>
      </x:c>
      <x:c r="E7" s="76" t="n">
        <x:f>B7*Premissas!$B$4+C7*Premissas!$B$5+D7*Premissas!$B$6</x:f>
        <x:v>265000</x:v>
      </x:c>
      <x:c r="F7" s="76" t="n">
        <x:f>E7*Premissas!$B$14</x:f>
        <x:v>7950</x:v>
      </x:c>
      <x:c r="G7" s="76" t="n">
        <x:f>E7-F7</x:f>
        <x:v>257050</x:v>
      </x:c>
      <x:c r="H7" s="76" t="n">
        <x:f>G7*Premissas!$B$23+A7*Premissas!$B$11</x:f>
        <x:v>12094.644999999999</x:v>
      </x:c>
      <x:c r="I7" s="76" t="n">
        <x:f>G7*Premissas!$B$9</x:f>
        <x:v>25705</x:v>
      </x:c>
      <x:c r="J7" s="76" t="n">
        <x:f>G7*Premissas!$B$13</x:f>
        <x:v>3855.75</x:v>
      </x:c>
      <x:c r="K7" s="76" t="n">
        <x:f>B7*Premissas!$D$4+C7*Premissas!$D$5+D7*Premissas!$D$6</x:f>
        <x:v>34800</x:v>
      </x:c>
      <x:c r="L7" s="76" t="n">
        <x:f>G7-H7-I7-J7-K7</x:f>
        <x:v>180594.605</x:v>
      </x:c>
      <x:c r="M7" s="77" t="n">
        <x:f>IFERROR(L7/G7,0)</x:f>
        <x:v>0.7025660571873177</x:v>
      </x:c>
      <x:c r="N7" s="76" t="n">
        <x:f>G7*12</x:f>
        <x:v>3084600</x:v>
      </x:c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>
      <x:c r="A8" s="74" t="n">
        <x:v>250</x:v>
      </x:c>
      <x:c r="B8" s="75" t="n">
        <x:f>A8*Premissas!$C$4</x:f>
        <x:v>50</x:v>
      </x:c>
      <x:c r="C8" s="75" t="n">
        <x:f>A8*Premissas!$C$5</x:f>
        <x:v>150</x:v>
      </x:c>
      <x:c r="D8" s="75" t="n">
        <x:f>A8*Premissas!$C$6</x:f>
        <x:v>50</x:v>
      </x:c>
      <x:c r="E8" s="76" t="n">
        <x:f>B8*Premissas!$B$4+C8*Premissas!$B$5+D8*Premissas!$B$6</x:f>
        <x:v>662500</x:v>
      </x:c>
      <x:c r="F8" s="76" t="n">
        <x:f>E8*Premissas!$B$14</x:f>
        <x:v>19875</x:v>
      </x:c>
      <x:c r="G8" s="76" t="n">
        <x:f>E8-F8</x:f>
        <x:v>642625</x:v>
      </x:c>
      <x:c r="H8" s="76" t="n">
        <x:f>G8*Premissas!$B$23+A8*Premissas!$B$11</x:f>
        <x:v>30236.6125</x:v>
      </x:c>
      <x:c r="I8" s="76" t="n">
        <x:f>G8*Premissas!$B$9</x:f>
        <x:v>64262.5</x:v>
      </x:c>
      <x:c r="J8" s="76" t="n">
        <x:f>G8*Premissas!$B$13</x:f>
        <x:v>9639.375</x:v>
      </x:c>
      <x:c r="K8" s="76" t="n">
        <x:f>B8*Premissas!$D$4+C8*Premissas!$D$5+D8*Premissas!$D$6</x:f>
        <x:v>87000</x:v>
      </x:c>
      <x:c r="L8" s="76" t="n">
        <x:f>G8-H8-I8-J8-K8</x:f>
        <x:v>451486.51249999995</x:v>
      </x:c>
      <x:c r="M8" s="77" t="n">
        <x:f>IFERROR(L8/G8,0)</x:f>
        <x:v>0.7025660571873176</x:v>
      </x:c>
      <x:c r="N8" s="76" t="n">
        <x:f>G8*12</x:f>
        <x:v>7711500</x:v>
      </x:c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>
      <x:c r="A9" s="74" t="n">
        <x:v>500</x:v>
      </x:c>
      <x:c r="B9" s="75" t="n">
        <x:f>A9*Premissas!$C$4</x:f>
        <x:v>100</x:v>
      </x:c>
      <x:c r="C9" s="75" t="n">
        <x:f>A9*Premissas!$C$5</x:f>
        <x:v>300</x:v>
      </x:c>
      <x:c r="D9" s="75" t="n">
        <x:f>A9*Premissas!$C$6</x:f>
        <x:v>100</x:v>
      </x:c>
      <x:c r="E9" s="76" t="n">
        <x:f>B9*Premissas!$B$4+C9*Premissas!$B$5+D9*Premissas!$B$6</x:f>
        <x:v>1325000</x:v>
      </x:c>
      <x:c r="F9" s="76" t="n">
        <x:f>E9*Premissas!$B$14</x:f>
        <x:v>39750</x:v>
      </x:c>
      <x:c r="G9" s="76" t="n">
        <x:f>E9-F9</x:f>
        <x:v>1285250</x:v>
      </x:c>
      <x:c r="H9" s="76" t="n">
        <x:f>G9*Premissas!$B$23+A9*Premissas!$B$11</x:f>
        <x:v>60473.225</x:v>
      </x:c>
      <x:c r="I9" s="76" t="n">
        <x:f>G9*Premissas!$B$9</x:f>
        <x:v>128525</x:v>
      </x:c>
      <x:c r="J9" s="76" t="n">
        <x:f>G9*Premissas!$B$13</x:f>
        <x:v>19278.75</x:v>
      </x:c>
      <x:c r="K9" s="76" t="n">
        <x:f>B9*Premissas!$D$4+C9*Premissas!$D$5+D9*Premissas!$D$6</x:f>
        <x:v>174000</x:v>
      </x:c>
      <x:c r="L9" s="76" t="n">
        <x:f>G9-H9-I9-J9-K9</x:f>
        <x:v>902973.0249999999</x:v>
      </x:c>
      <x:c r="M9" s="77" t="n">
        <x:f>IFERROR(L9/G9,0)</x:f>
        <x:v>0.7025660571873176</x:v>
      </x:c>
      <x:c r="N9" s="76" t="n">
        <x:f>G9*12</x:f>
        <x:v>15423000</x:v>
      </x:c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6" hidden="0" customWidth="1"/>
    <x:col min="7" max="7" width="14" hidden="0" customWidth="1"/>
    <x:col min="8" max="8" width="18" hidden="0" customWidth="1"/>
    <x:col min="9" max="9" width="18" hidden="0" customWidth="1"/>
    <x:col min="10" max="10" width="14" hidden="0" customWidth="1"/>
  </x:cols>
  <x:sheetData>
    <x:row r="1" ht="28" customHeight="1">
      <x:c r="A1" s="50" t="str">
        <x:v>EIP — Unit Economics por Plano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>
      <x:c r="A3" s="12" t="str">
        <x:v>Plano</x:v>
      </x:c>
      <x:c r="B3" s="12" t="str">
        <x:v>Preço (R$)</x:v>
      </x:c>
      <x:c r="C3" s="12" t="str">
        <x:v>Desconto médio</x:v>
      </x:c>
      <x:c r="D3" s="12" t="str">
        <x:v>Receita líquida</x:v>
      </x:c>
      <x:c r="E3" s="12" t="str">
        <x:v>Gateway/Billing</x:v>
      </x:c>
      <x:c r="F3" s="12" t="str">
        <x:v>Impostos</x:v>
      </x:c>
      <x:c r="G3" s="12" t="str">
        <x:v>Perdas</x:v>
      </x:c>
      <x:c r="H3" s="12" t="str">
        <x:v>Custo técnico</x:v>
      </x:c>
      <x:c r="I3" s="12" t="str">
        <x:v>Contribuição</x:v>
      </x:c>
      <x:c r="J3" s="12" t="str">
        <x:v>Margem %</x:v>
      </x:c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>
      <x:c r="A4" s="82" t="str">
        <x:f>Premissas!A4</x:f>
        <x:v>Start</x:v>
      </x:c>
      <x:c r="B4" s="52" t="n">
        <x:f>Premissas!B4</x:f>
        <x:v>1290</x:v>
      </x:c>
      <x:c r="C4" s="52" t="n">
        <x:f>B4*Premissas!$B$14</x:f>
        <x:v>38.699999999999996</x:v>
      </x:c>
      <x:c r="D4" s="52" t="n">
        <x:f>B4-C4</x:f>
        <x:v>1251.3</x:v>
      </x:c>
      <x:c r="E4" s="52" t="n">
        <x:f>D4*Premissas!$B$23+Premissas!$B$11</x:f>
        <x:v>59.07597</x:v>
      </x:c>
      <x:c r="F4" s="52" t="n">
        <x:f>D4*Premissas!$B$9</x:f>
        <x:v>125.13</x:v>
      </x:c>
      <x:c r="G4" s="52" t="n">
        <x:f>D4*Premissas!$B$13</x:f>
        <x:v>18.769499999999997</x:v>
      </x:c>
      <x:c r="H4" s="52" t="n">
        <x:f>Premissas!D4</x:f>
        <x:v>250</x:v>
      </x:c>
      <x:c r="I4" s="52" t="n">
        <x:f>D4-E4-F4-G4-H4</x:f>
        <x:v>798.3245299999996</x:v>
      </x:c>
      <x:c r="J4" s="54" t="n">
        <x:f>IFERROR(I4/D4,0)</x:f>
        <x:v>0.6379961080476302</x:v>
      </x:c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A5" s="82" t="str">
        <x:f>Premissas!A5</x:f>
        <x:v>Business</x:v>
      </x:c>
      <x:c r="B5" s="52" t="n">
        <x:f>Premissas!B5</x:f>
        <x:v>2490</x:v>
      </x:c>
      <x:c r="C5" s="52" t="n">
        <x:f>B5*Premissas!$B$14</x:f>
        <x:v>74.7</x:v>
      </x:c>
      <x:c r="D5" s="52" t="n">
        <x:f>B5-C5</x:f>
        <x:v>2415.3</x:v>
      </x:c>
      <x:c r="E5" s="52" t="n">
        <x:f>D5*Premissas!$B$23+Premissas!$B$11</x:f>
        <x:v>113.66757</x:v>
      </x:c>
      <x:c r="F5" s="52" t="n">
        <x:f>D5*Premissas!$B$9</x:f>
        <x:v>241.53000000000003</x:v>
      </x:c>
      <x:c r="G5" s="52" t="n">
        <x:f>D5*Premissas!$B$13</x:f>
        <x:v>36.2295</x:v>
      </x:c>
      <x:c r="H5" s="52" t="n">
        <x:f>Premissas!D5</x:f>
        <x:v>350</x:v>
      </x:c>
      <x:c r="I5" s="52" t="n">
        <x:f>D5-E5-F5-G5-H5</x:f>
        <x:v>1673.87293</x:v>
      </x:c>
      <x:c r="J5" s="54" t="n">
        <x:f>IFERROR(I5/D5,0)</x:f>
        <x:v>0.6930289943278267</x:v>
      </x:c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>
      <x:c r="A6" s="82" t="str">
        <x:f>Premissas!A6</x:f>
        <x:v>Pro</x:v>
      </x:c>
      <x:c r="B6" s="52" t="n">
        <x:f>Premissas!B6</x:f>
        <x:v>4490</x:v>
      </x:c>
      <x:c r="C6" s="52" t="n">
        <x:f>B6*Premissas!$B$14</x:f>
        <x:v>134.7</x:v>
      </x:c>
      <x:c r="D6" s="52" t="n">
        <x:f>B6-C6</x:f>
        <x:v>4355.3</x:v>
      </x:c>
      <x:c r="E6" s="52" t="n">
        <x:f>D6*Premissas!$B$23+Premissas!$B$11</x:f>
        <x:v>204.65356999999997</x:v>
      </x:c>
      <x:c r="F6" s="52" t="n">
        <x:f>D6*Premissas!$B$9</x:f>
        <x:v>435.53000000000003</x:v>
      </x:c>
      <x:c r="G6" s="52" t="n">
        <x:f>D6*Premissas!$B$13</x:f>
        <x:v>65.3295</x:v>
      </x:c>
      <x:c r="H6" s="52" t="n">
        <x:f>Premissas!D6</x:f>
        <x:v>440</x:v>
      </x:c>
      <x:c r="I6" s="52" t="n">
        <x:f>D6-E6-F6-G6-H6</x:f>
        <x:v>3209.7869299999998</x:v>
      </x:c>
      <x:c r="J6" s="54" t="n">
        <x:f>IFERROR(I6/D6,0)</x:f>
        <x:v>0.7369841182008127</x:v>
      </x:c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>
      <x:c r="A7" s="51"/>
      <x:c r="B7" s="51"/>
      <x:c r="C7" s="51"/>
      <x:c r="D7" s="51"/>
      <x:c r="E7" s="51"/>
      <x:c r="F7" s="51"/>
      <x:c r="G7" s="51"/>
      <x:c r="H7" s="51"/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>
      <x:c r="A8" s="51"/>
      <x:c r="B8" s="51"/>
      <x:c r="C8" s="51"/>
      <x:c r="D8" s="51"/>
      <x:c r="E8" s="51"/>
      <x:c r="F8" s="51"/>
      <x:c r="G8" s="51"/>
      <x:c r="H8" s="51"/>
      <x:c r="I8" s="51"/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>
      <x:c r="A9" s="64" t="str">
        <x:v>Break-even</x:v>
      </x:c>
      <x:c r="B9" s="64" t="str">
        <x:v>Valor</x:v>
      </x:c>
      <x:c r="C9" s="51"/>
      <x:c r="D9" s="64" t="str">
        <x:v>Sensibilidade — 100 clientes</x:v>
      </x:c>
      <x:c r="E9" s="64"/>
      <x:c r="F9" s="64"/>
      <x:c r="G9" s="64"/>
      <x:c r="H9" s="64"/>
      <x:c r="I9" s="64"/>
      <x:c r="J9" s="64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51" t="str">
        <x:v>Contribuição média/cliente</x:v>
      </x:c>
      <x:c r="B10" s="52" t="n">
        <x:f>SUMPRODUCT(Premissas!$C$4:$C$6,I4:I6)</x:f>
        <x:v>1805.94605</x:v>
      </x:c>
      <x:c r="C10" s="51"/>
      <x:c r="D10" s="12" t="str">
        <x:v>Cenário</x:v>
      </x:c>
      <x:c r="E10" s="12" t="str">
        <x:v>MRR líquido</x:v>
      </x:c>
      <x:c r="F10" s="12" t="str">
        <x:v>Custo técnico</x:v>
      </x:c>
      <x:c r="G10" s="12" t="str">
        <x:v>Custos fixos</x:v>
      </x:c>
      <x:c r="H10" s="12" t="str">
        <x:v>Contribuição após fixos</x:v>
      </x:c>
      <x:c r="I10" s="12" t="str">
        <x:v>Margem operacional %</x:v>
      </x:c>
      <x:c r="J10" s="12" t="str">
        <x:v>ARR líquido</x:v>
      </x:c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51" t="str">
        <x:v>Custos fixos totais</x:v>
      </x:c>
      <x:c r="B11" s="52" t="n">
        <x:f>Premissas!$B$24</x:f>
        <x:v>125000</x:v>
      </x:c>
      <x:c r="C11" s="51"/>
      <x:c r="D11" s="51" t="str">
        <x:v>Conservador</x:v>
      </x:c>
      <x:c r="E11" s="65" t="n">
        <x:f>Cenarios!G7</x:f>
        <x:v>257050</x:v>
      </x:c>
      <x:c r="F11" s="65" t="n">
        <x:f>Cenarios!K7*Premissas!G4</x:f>
        <x:v>45240</x:v>
      </x:c>
      <x:c r="G11" s="65" t="n">
        <x:f>Premissas!$B$24*Premissas!H4</x:f>
        <x:v>150000</x:v>
      </x:c>
      <x:c r="H11" s="65" t="n">
        <x:f>Cenarios!L7-(F11-Cenarios!K7)-G11</x:f>
        <x:v>20154.60500000001</x:v>
      </x:c>
      <x:c r="I11" s="66" t="n">
        <x:f>IFERROR(H11/E11,0)</x:f>
        <x:v>0.07840733320365692</x:v>
      </x:c>
      <x:c r="J11" s="65" t="n">
        <x:f>E11*12</x:f>
        <x:v>3084600</x:v>
      </x:c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51" t="str">
        <x:v>Clientes break-even</x:v>
      </x:c>
      <x:c r="B12" s="53" t="n">
        <x:f>ROUNDUP(B11/B10,0)</x:f>
        <x:v>70</x:v>
      </x:c>
      <x:c r="C12" s="51"/>
      <x:c r="D12" s="51" t="str">
        <x:v>Base</x:v>
      </x:c>
      <x:c r="E12" s="65" t="n">
        <x:f>Cenarios!G7</x:f>
        <x:v>257050</x:v>
      </x:c>
      <x:c r="F12" s="65" t="n">
        <x:f>Cenarios!K7*Premissas!G5</x:f>
        <x:v>34800</x:v>
      </x:c>
      <x:c r="G12" s="65" t="n">
        <x:f>Premissas!$B$24*Premissas!H5</x:f>
        <x:v>125000</x:v>
      </x:c>
      <x:c r="H12" s="65" t="n">
        <x:f>Cenarios!L7-(F12-Cenarios!K7)-G12</x:f>
        <x:v>55594.60500000001</x:v>
      </x:c>
      <x:c r="I12" s="66" t="n">
        <x:f>IFERROR(H12/E12,0)</x:f>
        <x:v>0.21627934254036185</x:v>
      </x:c>
      <x:c r="J12" s="65" t="n">
        <x:f>E12*12</x:f>
        <x:v>3084600</x:v>
      </x:c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51" t="str">
        <x:v>MRR líquido no break-even</x:v>
      </x:c>
      <x:c r="B13" s="52" t="n">
        <x:f>B12*Premissas!$B$21*(1-Premissas!$B$14)</x:f>
        <x:v>179935</x:v>
      </x:c>
      <x:c r="C13" s="51"/>
      <x:c r="D13" s="51" t="str">
        <x:v>Agressivo</x:v>
      </x:c>
      <x:c r="E13" s="65" t="n">
        <x:f>Cenarios!G7</x:f>
        <x:v>257050</x:v>
      </x:c>
      <x:c r="F13" s="65" t="n">
        <x:f>Cenarios!K7*Premissas!G6</x:f>
        <x:v>29580</x:v>
      </x:c>
      <x:c r="G13" s="65" t="n">
        <x:f>Premissas!$B$24*Premissas!H6</x:f>
        <x:v>112500</x:v>
      </x:c>
      <x:c r="H13" s="65" t="n">
        <x:f>Cenarios!L7-(F13-Cenarios!K7)-G13</x:f>
        <x:v>73314.60500000001</x:v>
      </x:c>
      <x:c r="I13" s="66" t="n">
        <x:f>IFERROR(H13/E13,0)</x:f>
        <x:v>0.2852153472087143</x:v>
      </x:c>
      <x:c r="J13" s="65" t="n">
        <x:f>E13*12</x:f>
        <x:v>3084600</x:v>
      </x:c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</x:sheetData>
  <x:mergeCells>
    <x:mergeCell ref="A1:J1"/>
    <x:mergeCell ref="D9:J9"/>
  </x:mergeCells>
  <x:conditionalFormatting sqref="J4:J6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58" hidden="0" customWidth="1"/>
  </x:cols>
  <x:sheetData>
    <x:row r="1" ht="28" customHeight="1">
      <x:c r="A1" s="50" t="str">
        <x:v>Fontes e notas das premissas</x:v>
      </x:c>
      <x:c r="B1" s="50"/>
      <x:c r="C1" s="50"/>
      <x:c r="D1" s="50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>
      <x:c r="A3" s="12" t="str">
        <x:v>Premissa</x:v>
      </x:c>
      <x:c r="B3" s="12" t="str">
        <x:v>Valor usado</x:v>
      </x:c>
      <x:c r="C3" s="12" t="str">
        <x:v>Fonte / URL</x:v>
      </x:c>
      <x:c r="D3" s="12" t="str">
        <x:v>Nota</x:v>
      </x:c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>
      <x:c r="A4" s="51" t="str">
        <x:v>Stripe cartão nacional</x:v>
      </x:c>
      <x:c r="B4" s="51" t="str">
        <x:v>3,99% + R$0,39</x:v>
      </x:c>
      <x:c r="C4" s="51" t="str">
        <x:v>https://stripe.com/br/pricing</x:v>
      </x:c>
      <x:c r="D4" s="51" t="str">
        <x:v>Preço público consultado em 16/09/2026.</x:v>
      </x:c>
      <x:c r="E4" s="51"/>
      <x:c r="F4" s="51"/>
      <x:c r="G4" s="51"/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A5" s="51" t="str">
        <x:v>Stripe Billing</x:v>
      </x:c>
      <x:c r="B5" s="51" t="str">
        <x:v>0,7% do volume Billing</x:v>
      </x:c>
      <x:c r="C5" s="51" t="str">
        <x:v>https://stripe.com/br/pricing</x:v>
      </x:c>
      <x:c r="D5" s="51" t="str">
        <x:v>Preço público consultado em 16/09/2026.</x:v>
      </x:c>
      <x:c r="E5" s="51"/>
      <x:c r="F5" s="51"/>
      <x:c r="G5" s="51"/>
      <x:c r="H5" s="51"/>
      <x:c r="I5" s="51"/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>
      <x:c r="A6" s="51" t="str">
        <x:v>OpenAI API</x:v>
      </x:c>
      <x:c r="B6" s="51" t="str">
        <x:v>Premissa embutida no custo técnico</x:v>
      </x:c>
      <x:c r="C6" s="51" t="str">
        <x:v>https://openai.com/api/pricing</x:v>
      </x:c>
      <x:c r="D6" s="51" t="str">
        <x:v>Preço varia por modelo e consumo; atualizar antes de orçamento definitivo.</x:v>
      </x:c>
      <x:c r="E6" s="51"/>
      <x:c r="F6" s="51"/>
      <x:c r="G6" s="51"/>
      <x:c r="H6" s="51"/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>
      <x:c r="A7" s="51" t="str">
        <x:v>Impostos</x:v>
      </x:c>
      <x:c r="B7" s="51" t="str">
        <x:v>10% da receita</x:v>
      </x:c>
      <x:c r="C7" s="51" t="str">
        <x:v>Premissa do modelo</x:v>
      </x:c>
      <x:c r="D7" s="51" t="str">
        <x:v>Substituir por projeção do contador conforme regime e enquadramento da empresa.</x:v>
      </x:c>
      <x:c r="E7" s="51"/>
      <x:c r="F7" s="51"/>
      <x:c r="G7" s="51"/>
      <x:c r="H7" s="51"/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>
      <x:c r="A8" s="51" t="str">
        <x:v>Custo técnico</x:v>
      </x:c>
      <x:c r="B8" s="51" t="str">
        <x:v>R$250 / R$350 / R$440</x:v>
      </x:c>
      <x:c r="C8" s="51" t="str">
        <x:v>Premissa conservadora do modelo</x:v>
      </x:c>
      <x:c r="D8" s="51" t="str">
        <x:v>Inclui reserva para IA, OCR, cloud e storage; calibrar com pilotos reais.</x:v>
      </x:c>
      <x:c r="E8" s="51"/>
      <x:c r="F8" s="51"/>
      <x:c r="G8" s="51"/>
      <x:c r="H8" s="51"/>
      <x:c r="I8" s="51"/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>
      <x:c r="A9" s="51"/>
      <x:c r="B9" s="51"/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</x:sheetData>
  <x:mergeCells>
    <x:mergeCell ref="A1:D1"/>
  </x:mergeCells>
  <x:pageMargins left="0.7" right="0.7" top="0.75" bottom="0.75" header="0.3" footer="0.3"/>
</x:worksheet>
</file>